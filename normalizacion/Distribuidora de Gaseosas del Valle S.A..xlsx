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<sst xmlns="http://schemas.openxmlformats.org/spreadsheetml/2006/main" count="426" uniqueCount="140">
  <si>
    <t>No Normalizado (UNF / Tabla Plana)</t>
  </si>
  <si>
    <t>id_pedido</t>
  </si>
  <si>
    <t>fecha_pedido</t>
  </si>
  <si>
    <t>id_cliente</t>
  </si>
  <si>
    <t>nombre_cliente</t>
  </si>
  <si>
    <t>nit_cliente</t>
  </si>
  <si>
    <t>direccion_cliente</t>
  </si>
  <si>
    <t>telefono_cliente</t>
  </si>
  <si>
    <t>correo_cliente</t>
  </si>
  <si>
    <t>id_sede</t>
  </si>
  <si>
    <t>nombre_sede</t>
  </si>
  <si>
    <t>productos_solicitados</t>
  </si>
  <si>
    <t>total_sin_iva</t>
  </si>
  <si>
    <t>total_con_iva</t>
  </si>
  <si>
    <t>PED-1001</t>
  </si>
  <si>
    <t>CLI-501</t>
  </si>
  <si>
    <t>Abarrotería El Carmen</t>
  </si>
  <si>
    <t>849201-K</t>
  </si>
  <si>
    <t>Cra 15 #12-04, Girón</t>
  </si>
  <si>
    <t>5412 8901</t>
  </si>
  <si>
    <t>elcarmen@gmail.com</t>
  </si>
  <si>
    <t>SED-01</t>
  </si>
  <si>
    <t>Sede Principal Girón</t>
  </si>
  <si>
    <t>SalvaVida Cola 1.5L (x10), Tiky Piña 2.5L (x5)</t>
  </si>
  <si>
    <t>PED-1002</t>
  </si>
  <si>
    <t>CLI-502</t>
  </si>
  <si>
    <t>Mi Tiendita La bendición</t>
  </si>
  <si>
    <t>930124-3</t>
  </si>
  <si>
    <t>Cll 36 #18-20, Bucaramanga</t>
  </si>
  <si>
    <t>4109 2387</t>
  </si>
  <si>
    <t>labendicion@hotmail.com</t>
  </si>
  <si>
    <t>SED-02</t>
  </si>
  <si>
    <t>Sede Bucaramanga Norte</t>
  </si>
  <si>
    <t>SalvaVida Cola 1.5L (x20), Grapette Uva 400ml (x50)</t>
  </si>
  <si>
    <t>PED-1003</t>
  </si>
  <si>
    <t>CLI-503</t>
  </si>
  <si>
    <t>Depósito y Licorería San José</t>
  </si>
  <si>
    <t>1029384-7</t>
  </si>
  <si>
    <t>Cra 6 #4-12, Piedecuesta</t>
  </si>
  <si>
    <t>3012 9944</t>
  </si>
  <si>
    <t>sanjose_ventas@gmail.com</t>
  </si>
  <si>
    <t>SED-03</t>
  </si>
  <si>
    <t>Sede Piedecuesta Sur</t>
  </si>
  <si>
    <t>Tiky Piña 2.5L (x15)</t>
  </si>
  <si>
    <t>PED-1004</t>
  </si>
  <si>
    <t>SalvaVida Cola 1.5L (x15), Agua Purificada Gutt 600ml (x30)</t>
  </si>
  <si>
    <t>Primera Forma Normal (1FN)</t>
  </si>
  <si>
    <t>id_producto</t>
  </si>
  <si>
    <t>nombre_producto</t>
  </si>
  <si>
    <t>id_categoria</t>
  </si>
  <si>
    <t>volumen_ml</t>
  </si>
  <si>
    <t>precio_unitario</t>
  </si>
  <si>
    <t>stock_actual</t>
  </si>
  <si>
    <t>stock_minimo</t>
  </si>
  <si>
    <t>cantidad_pedida</t>
  </si>
  <si>
    <t>subtotal_linea</t>
  </si>
  <si>
    <t>total_pedido_sin_iva</t>
  </si>
  <si>
    <t>total_pedido_con_iva</t>
  </si>
  <si>
    <t>PROD-201</t>
  </si>
  <si>
    <t>Gaseosa SalvaVida Cola 1.5L</t>
  </si>
  <si>
    <t>CAT-01</t>
  </si>
  <si>
    <t>PROD-202</t>
  </si>
  <si>
    <t>Gaseosa Tiky Piña 2.5L</t>
  </si>
  <si>
    <t>PROD-203</t>
  </si>
  <si>
    <t>Gaseosa Grapette Uva 400ml</t>
  </si>
  <si>
    <t>PROD-204</t>
  </si>
  <si>
    <t>Agua Purificada Gutt 600ml</t>
  </si>
  <si>
    <t>CAT-02</t>
  </si>
  <si>
    <t>Segunda Forma Normal (2FN)</t>
  </si>
  <si>
    <t>Clientes</t>
  </si>
  <si>
    <t>id_cliente [PK]</t>
  </si>
  <si>
    <t>Sedes</t>
  </si>
  <si>
    <t>Productos</t>
  </si>
  <si>
    <t>id_sede [PK]</t>
  </si>
  <si>
    <t>ubicacion_sede</t>
  </si>
  <si>
    <t>id_producto [PK]</t>
  </si>
  <si>
    <t>Zona Industrial Carrizal, Girón</t>
  </si>
  <si>
    <t>Av. Quebradaseca #14-30, Bucaramanga</t>
  </si>
  <si>
    <t>Cll 3 #8-45, Piedecuesta</t>
  </si>
  <si>
    <t>Pedidos (Cabecera)</t>
  </si>
  <si>
    <t>Detalle_Pedido (Líneas)</t>
  </si>
  <si>
    <t>id_pedido [PK]</t>
  </si>
  <si>
    <t>id_cliente [FK]</t>
  </si>
  <si>
    <t>id_sede [FK]</t>
  </si>
  <si>
    <t>id_pedido [PK, FK]</t>
  </si>
  <si>
    <t>id_producto [PK, FK]</t>
  </si>
  <si>
    <t>Tercera Forma Normal (3FN)</t>
  </si>
  <si>
    <t>Categorias</t>
  </si>
  <si>
    <t>id_categoria [PK]</t>
  </si>
  <si>
    <t>nombre_categoria</t>
  </si>
  <si>
    <t>id_categoria [FK]</t>
  </si>
  <si>
    <t>Gaseosas Tradicionales</t>
  </si>
  <si>
    <t>Aguas y Refrescos</t>
  </si>
  <si>
    <t>Encargados</t>
  </si>
  <si>
    <t>Almacenamientos</t>
  </si>
  <si>
    <t>id_encargado [PK]</t>
  </si>
  <si>
    <t>nombre_encargado</t>
  </si>
  <si>
    <t>telefono_encargado</t>
  </si>
  <si>
    <t>id_almacenamiento [PK]</t>
  </si>
  <si>
    <t>capacidad_cajas</t>
  </si>
  <si>
    <t>ENC-01</t>
  </si>
  <si>
    <t>Mateo Morales</t>
  </si>
  <si>
    <t>5910 1122</t>
  </si>
  <si>
    <t>ALM-01</t>
  </si>
  <si>
    <t>ENC-02</t>
  </si>
  <si>
    <t>Sofia Méndez</t>
  </si>
  <si>
    <t>4890 3344</t>
  </si>
  <si>
    <t>ALM-02</t>
  </si>
  <si>
    <t>ENC-03</t>
  </si>
  <si>
    <t>Alejandro Estrada</t>
  </si>
  <si>
    <t>3120 5566</t>
  </si>
  <si>
    <t>ALM-03</t>
  </si>
  <si>
    <t>id_encargado [FK]</t>
  </si>
  <si>
    <t>id_almacenamiento [FK]</t>
  </si>
  <si>
    <t>Inventario</t>
  </si>
  <si>
    <t>Pedidos</t>
  </si>
  <si>
    <t>id_sede [PK, FK]</t>
  </si>
  <si>
    <t>Detalle_Pedido</t>
  </si>
  <si>
    <t>Cuarta Forma Normal (4FN)</t>
  </si>
  <si>
    <t>Vendedores</t>
  </si>
  <si>
    <t>Vendedor_Idiomas</t>
  </si>
  <si>
    <t>id_vendedor [PK]</t>
  </si>
  <si>
    <t>nombre_vendedor</t>
  </si>
  <si>
    <t>telefono_vendedor</t>
  </si>
  <si>
    <t>id_vendedor [PK, FK]</t>
  </si>
  <si>
    <t>idioma [PK]</t>
  </si>
  <si>
    <t>VEN-01</t>
  </si>
  <si>
    <t>Carlos Alvarado</t>
  </si>
  <si>
    <t>5100 9988</t>
  </si>
  <si>
    <t>Español</t>
  </si>
  <si>
    <t>VEN-02</t>
  </si>
  <si>
    <t>Lucía Fuentes</t>
  </si>
  <si>
    <t>4233 1122</t>
  </si>
  <si>
    <t>Inglés</t>
  </si>
  <si>
    <t>Kaqchikel</t>
  </si>
  <si>
    <t>Vendedor_Cobertura</t>
  </si>
  <si>
    <t>municipio_cobertura [PK]</t>
  </si>
  <si>
    <t>Girón</t>
  </si>
  <si>
    <t>Bucaramanga</t>
  </si>
  <si>
    <t>Piedecuesta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</si>
</sst>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"/>
    <numFmt numFmtId="166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  <border>
      <left style="thin">
        <color rgb="FFC4C7C5"/>
      </left>
      <top style="thin">
        <color rgb="FFC4C7C5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3" fillId="0" fontId="2" numFmtId="165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3" fontId="1" numFmtId="0" xfId="0" applyAlignment="1" applyFill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Font="1"/>
    <xf borderId="1" fillId="0" fontId="2" numFmtId="0" xfId="0" applyBorder="1" applyFont="1"/>
    <xf borderId="1" fillId="0" fontId="2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38"/>
    <col customWidth="1" min="6" max="6" width="23.88"/>
    <col customWidth="1" min="7" max="7" width="17.5"/>
    <col customWidth="1" min="9" max="9" width="23.13"/>
    <col customWidth="1" min="10" max="10" width="21.5"/>
    <col customWidth="1" min="11" max="11" width="48.25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4"/>
      <c r="B3" s="5"/>
      <c r="C3" s="4"/>
      <c r="D3" s="4"/>
      <c r="E3" s="4"/>
      <c r="F3" s="4"/>
      <c r="G3" s="4"/>
      <c r="H3" s="4"/>
      <c r="I3" s="4"/>
      <c r="J3" s="4"/>
      <c r="K3" s="4"/>
    </row>
    <row r="4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</row>
    <row r="5">
      <c r="A5" s="6" t="s">
        <v>14</v>
      </c>
      <c r="B5" s="7">
        <v>46235.354166666664</v>
      </c>
      <c r="C5" s="6" t="s">
        <v>15</v>
      </c>
      <c r="D5" s="6" t="s">
        <v>16</v>
      </c>
      <c r="E5" s="6" t="s">
        <v>17</v>
      </c>
      <c r="F5" s="6" t="s">
        <v>18</v>
      </c>
      <c r="G5" s="8" t="s">
        <v>19</v>
      </c>
      <c r="H5" s="6" t="s">
        <v>20</v>
      </c>
      <c r="I5" s="6" t="s">
        <v>21</v>
      </c>
      <c r="J5" s="6" t="s">
        <v>22</v>
      </c>
      <c r="K5" s="6" t="s">
        <v>23</v>
      </c>
      <c r="L5" s="6">
        <v>80000.0</v>
      </c>
      <c r="M5" s="6">
        <v>88000.0</v>
      </c>
    </row>
    <row r="6">
      <c r="A6" s="6" t="s">
        <v>24</v>
      </c>
      <c r="B6" s="7">
        <v>46235.427083333336</v>
      </c>
      <c r="C6" s="6" t="s">
        <v>25</v>
      </c>
      <c r="D6" s="6" t="s">
        <v>26</v>
      </c>
      <c r="E6" s="6" t="s">
        <v>27</v>
      </c>
      <c r="F6" s="6" t="s">
        <v>28</v>
      </c>
      <c r="G6" s="8" t="s">
        <v>29</v>
      </c>
      <c r="H6" s="6" t="s">
        <v>30</v>
      </c>
      <c r="I6" s="6" t="s">
        <v>31</v>
      </c>
      <c r="J6" s="6" t="s">
        <v>32</v>
      </c>
      <c r="K6" s="6" t="s">
        <v>33</v>
      </c>
      <c r="L6" s="6">
        <v>200000.0</v>
      </c>
      <c r="M6" s="6">
        <v>220000.0</v>
      </c>
    </row>
    <row r="7">
      <c r="A7" s="6" t="s">
        <v>34</v>
      </c>
      <c r="B7" s="7">
        <v>46236.583333333336</v>
      </c>
      <c r="C7" s="6" t="s">
        <v>35</v>
      </c>
      <c r="D7" s="6" t="s">
        <v>36</v>
      </c>
      <c r="E7" s="6" t="s">
        <v>37</v>
      </c>
      <c r="F7" s="6" t="s">
        <v>38</v>
      </c>
      <c r="G7" s="6" t="s">
        <v>39</v>
      </c>
      <c r="H7" s="6" t="s">
        <v>40</v>
      </c>
      <c r="I7" s="6" t="s">
        <v>41</v>
      </c>
      <c r="J7" s="6" t="s">
        <v>42</v>
      </c>
      <c r="K7" s="6" t="s">
        <v>43</v>
      </c>
      <c r="L7" s="6">
        <v>105000.0</v>
      </c>
      <c r="M7" s="6">
        <v>115500.0</v>
      </c>
    </row>
    <row r="8">
      <c r="A8" s="6" t="s">
        <v>44</v>
      </c>
      <c r="B8" s="7">
        <v>46237.40625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6" t="s">
        <v>22</v>
      </c>
      <c r="K8" s="6" t="s">
        <v>45</v>
      </c>
      <c r="L8" s="6">
        <v>127500.0</v>
      </c>
      <c r="M8" s="6">
        <v>140250.0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3"/>
      <c r="B11" s="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10" t="s">
        <v>46</v>
      </c>
      <c r="B12" s="11"/>
      <c r="C12" s="12"/>
      <c r="D12" s="12"/>
      <c r="E12" s="12"/>
      <c r="F12" s="12"/>
      <c r="G12" s="12"/>
      <c r="H12" s="12"/>
      <c r="I12" s="3"/>
      <c r="J12" s="3"/>
      <c r="K12" s="3"/>
      <c r="L12" s="3"/>
      <c r="M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>
      <c r="A14" s="3" t="s">
        <v>1</v>
      </c>
      <c r="B14" s="3" t="s">
        <v>47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48</v>
      </c>
      <c r="M14" s="3" t="s">
        <v>49</v>
      </c>
      <c r="N14" s="3" t="s">
        <v>50</v>
      </c>
      <c r="O14" s="3" t="s">
        <v>51</v>
      </c>
      <c r="P14" s="3" t="s">
        <v>52</v>
      </c>
      <c r="Q14" s="3" t="s">
        <v>53</v>
      </c>
      <c r="R14" s="3" t="s">
        <v>54</v>
      </c>
      <c r="S14" s="3" t="s">
        <v>55</v>
      </c>
      <c r="T14" s="3" t="s">
        <v>56</v>
      </c>
      <c r="U14" s="3" t="s">
        <v>57</v>
      </c>
    </row>
    <row r="15">
      <c r="A15" s="3" t="s">
        <v>14</v>
      </c>
      <c r="B15" s="3" t="s">
        <v>58</v>
      </c>
      <c r="C15" s="13">
        <v>46235.354166666664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I15" s="3" t="s">
        <v>20</v>
      </c>
      <c r="J15" s="3" t="s">
        <v>21</v>
      </c>
      <c r="K15" s="3" t="s">
        <v>22</v>
      </c>
      <c r="L15" s="3" t="s">
        <v>59</v>
      </c>
      <c r="M15" s="3" t="s">
        <v>60</v>
      </c>
      <c r="N15" s="3">
        <v>1500.0</v>
      </c>
      <c r="O15" s="3">
        <v>4500.0</v>
      </c>
      <c r="P15" s="3">
        <v>1200.0</v>
      </c>
      <c r="Q15" s="3">
        <v>200.0</v>
      </c>
      <c r="R15" s="3">
        <v>10.0</v>
      </c>
      <c r="S15" s="3">
        <v>45000.0</v>
      </c>
      <c r="T15" s="3">
        <v>80000.0</v>
      </c>
      <c r="U15" s="3">
        <v>88000.0</v>
      </c>
    </row>
    <row r="16">
      <c r="A16" s="3" t="s">
        <v>14</v>
      </c>
      <c r="B16" s="3" t="s">
        <v>61</v>
      </c>
      <c r="C16" s="13">
        <v>46235.354166666664</v>
      </c>
      <c r="D16" s="3" t="s">
        <v>15</v>
      </c>
      <c r="E16" s="3" t="s">
        <v>16</v>
      </c>
      <c r="F16" s="3" t="s">
        <v>17</v>
      </c>
      <c r="G16" s="3" t="s">
        <v>18</v>
      </c>
      <c r="H16" s="3" t="s">
        <v>19</v>
      </c>
      <c r="I16" s="3" t="s">
        <v>20</v>
      </c>
      <c r="J16" s="3" t="s">
        <v>21</v>
      </c>
      <c r="K16" s="3" t="s">
        <v>22</v>
      </c>
      <c r="L16" s="3" t="s">
        <v>62</v>
      </c>
      <c r="M16" s="3" t="s">
        <v>60</v>
      </c>
      <c r="N16" s="3">
        <v>2500.0</v>
      </c>
      <c r="O16" s="3">
        <v>7000.0</v>
      </c>
      <c r="P16" s="3">
        <v>850.0</v>
      </c>
      <c r="Q16" s="3">
        <v>150.0</v>
      </c>
      <c r="R16" s="3">
        <v>5.0</v>
      </c>
      <c r="S16" s="3">
        <v>35000.0</v>
      </c>
      <c r="T16" s="3">
        <v>80000.0</v>
      </c>
      <c r="U16" s="3">
        <v>88000.0</v>
      </c>
    </row>
    <row r="17">
      <c r="A17" s="3" t="s">
        <v>24</v>
      </c>
      <c r="B17" s="3" t="s">
        <v>58</v>
      </c>
      <c r="C17" s="13">
        <v>46235.427083333336</v>
      </c>
      <c r="D17" s="3" t="s">
        <v>25</v>
      </c>
      <c r="E17" s="3" t="s">
        <v>26</v>
      </c>
      <c r="F17" s="3" t="s">
        <v>27</v>
      </c>
      <c r="G17" s="3" t="s">
        <v>28</v>
      </c>
      <c r="H17" s="3" t="s">
        <v>29</v>
      </c>
      <c r="I17" s="3" t="s">
        <v>30</v>
      </c>
      <c r="J17" s="3" t="s">
        <v>31</v>
      </c>
      <c r="K17" s="3" t="s">
        <v>32</v>
      </c>
      <c r="L17" s="3" t="s">
        <v>59</v>
      </c>
      <c r="M17" s="3" t="s">
        <v>60</v>
      </c>
      <c r="N17" s="3">
        <v>1500.0</v>
      </c>
      <c r="O17" s="3">
        <v>4500.0</v>
      </c>
      <c r="P17" s="3">
        <v>3000.0</v>
      </c>
      <c r="Q17" s="3">
        <v>500.0</v>
      </c>
      <c r="R17" s="3">
        <v>20.0</v>
      </c>
      <c r="S17" s="3">
        <v>90000.0</v>
      </c>
      <c r="T17" s="3">
        <v>200000.0</v>
      </c>
      <c r="U17" s="3">
        <v>220000.0</v>
      </c>
    </row>
    <row r="18">
      <c r="A18" s="3" t="s">
        <v>24</v>
      </c>
      <c r="B18" s="3" t="s">
        <v>63</v>
      </c>
      <c r="C18" s="13">
        <v>46235.427083333336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29</v>
      </c>
      <c r="I18" s="3" t="s">
        <v>30</v>
      </c>
      <c r="J18" s="3" t="s">
        <v>31</v>
      </c>
      <c r="K18" s="3" t="s">
        <v>32</v>
      </c>
      <c r="L18" s="3" t="s">
        <v>64</v>
      </c>
      <c r="M18" s="3" t="s">
        <v>60</v>
      </c>
      <c r="N18" s="3">
        <v>400.0</v>
      </c>
      <c r="O18" s="3">
        <v>2200.0</v>
      </c>
      <c r="P18" s="3">
        <v>1800.0</v>
      </c>
      <c r="Q18" s="3">
        <v>300.0</v>
      </c>
      <c r="R18" s="3">
        <v>50.0</v>
      </c>
      <c r="S18" s="3">
        <v>110000.0</v>
      </c>
      <c r="T18" s="3">
        <v>200000.0</v>
      </c>
      <c r="U18" s="3">
        <v>220000.0</v>
      </c>
    </row>
    <row r="19">
      <c r="A19" s="3" t="s">
        <v>34</v>
      </c>
      <c r="B19" s="3" t="s">
        <v>61</v>
      </c>
      <c r="C19" s="13">
        <v>46236.583333333336</v>
      </c>
      <c r="D19" s="3" t="s">
        <v>35</v>
      </c>
      <c r="E19" s="3" t="s">
        <v>36</v>
      </c>
      <c r="F19" s="3" t="s">
        <v>37</v>
      </c>
      <c r="G19" s="3" t="s">
        <v>38</v>
      </c>
      <c r="H19" s="3" t="s">
        <v>39</v>
      </c>
      <c r="I19" s="3" t="s">
        <v>40</v>
      </c>
      <c r="J19" s="3" t="s">
        <v>41</v>
      </c>
      <c r="K19" s="3" t="s">
        <v>42</v>
      </c>
      <c r="L19" s="3" t="s">
        <v>62</v>
      </c>
      <c r="M19" s="3" t="s">
        <v>60</v>
      </c>
      <c r="N19" s="3">
        <v>2500.0</v>
      </c>
      <c r="O19" s="3">
        <v>7000.0</v>
      </c>
      <c r="P19" s="3">
        <v>400.0</v>
      </c>
      <c r="Q19" s="3">
        <v>100.0</v>
      </c>
      <c r="R19" s="3">
        <v>15.0</v>
      </c>
      <c r="S19" s="3">
        <v>105000.0</v>
      </c>
      <c r="T19" s="3">
        <v>105000.0</v>
      </c>
      <c r="U19" s="3">
        <v>115500.0</v>
      </c>
    </row>
    <row r="20">
      <c r="A20" s="3" t="s">
        <v>44</v>
      </c>
      <c r="B20" s="3" t="s">
        <v>58</v>
      </c>
      <c r="C20" s="13">
        <v>46237.40625</v>
      </c>
      <c r="D20" s="3" t="s">
        <v>15</v>
      </c>
      <c r="E20" s="3" t="s">
        <v>16</v>
      </c>
      <c r="F20" s="3" t="s">
        <v>17</v>
      </c>
      <c r="G20" s="3" t="s">
        <v>18</v>
      </c>
      <c r="H20" s="3" t="s">
        <v>19</v>
      </c>
      <c r="I20" s="3" t="s">
        <v>20</v>
      </c>
      <c r="J20" s="3" t="s">
        <v>21</v>
      </c>
      <c r="K20" s="3" t="s">
        <v>22</v>
      </c>
      <c r="L20" s="3" t="s">
        <v>59</v>
      </c>
      <c r="M20" s="3" t="s">
        <v>60</v>
      </c>
      <c r="N20" s="3">
        <v>1500.0</v>
      </c>
      <c r="O20" s="3">
        <v>4500.0</v>
      </c>
      <c r="P20" s="3">
        <v>1200.0</v>
      </c>
      <c r="Q20" s="3">
        <v>200.0</v>
      </c>
      <c r="R20" s="3">
        <v>15.0</v>
      </c>
      <c r="S20" s="3">
        <v>67500.0</v>
      </c>
      <c r="T20" s="3">
        <v>127500.0</v>
      </c>
      <c r="U20" s="3">
        <v>140250.0</v>
      </c>
    </row>
    <row r="21">
      <c r="A21" s="3" t="s">
        <v>44</v>
      </c>
      <c r="B21" s="3" t="s">
        <v>65</v>
      </c>
      <c r="C21" s="13">
        <v>46237.40625</v>
      </c>
      <c r="D21" s="3" t="s">
        <v>15</v>
      </c>
      <c r="E21" s="3" t="s">
        <v>16</v>
      </c>
      <c r="F21" s="3" t="s">
        <v>17</v>
      </c>
      <c r="G21" s="3" t="s">
        <v>18</v>
      </c>
      <c r="H21" s="3" t="s">
        <v>19</v>
      </c>
      <c r="I21" s="3" t="s">
        <v>20</v>
      </c>
      <c r="J21" s="3" t="s">
        <v>21</v>
      </c>
      <c r="K21" s="3" t="s">
        <v>22</v>
      </c>
      <c r="L21" s="3" t="s">
        <v>66</v>
      </c>
      <c r="M21" s="3" t="s">
        <v>67</v>
      </c>
      <c r="N21" s="3">
        <v>600.0</v>
      </c>
      <c r="O21" s="3">
        <v>2000.0</v>
      </c>
      <c r="P21" s="3">
        <v>2500.0</v>
      </c>
      <c r="Q21" s="3">
        <v>400.0</v>
      </c>
      <c r="R21" s="3">
        <v>30.0</v>
      </c>
      <c r="S21" s="3">
        <v>60000.0</v>
      </c>
      <c r="T21" s="3">
        <v>127500.0</v>
      </c>
      <c r="U21" s="3">
        <v>140250.0</v>
      </c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9"/>
      <c r="C23" s="3"/>
      <c r="D23" s="3"/>
      <c r="E23" s="3"/>
      <c r="F23" s="3"/>
      <c r="G23" s="3"/>
      <c r="H23" s="3"/>
      <c r="I23" s="3"/>
      <c r="J23" s="3"/>
    </row>
    <row r="24">
      <c r="A24" s="3"/>
      <c r="B24" s="9"/>
      <c r="C24" s="3"/>
      <c r="D24" s="3"/>
      <c r="E24" s="3"/>
      <c r="F24" s="3"/>
      <c r="G24" s="3"/>
      <c r="H24" s="3"/>
      <c r="I24" s="3"/>
      <c r="J24" s="3"/>
    </row>
    <row r="25">
      <c r="A25" s="1" t="s">
        <v>68</v>
      </c>
      <c r="B25" s="14"/>
      <c r="C25" s="15"/>
      <c r="D25" s="15"/>
      <c r="E25" s="15"/>
      <c r="F25" s="15"/>
      <c r="G25" s="15"/>
      <c r="H25" s="15"/>
      <c r="I25" s="3"/>
      <c r="J25" s="3"/>
    </row>
    <row r="26"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9"/>
      <c r="C27" s="3"/>
      <c r="D27" s="3"/>
      <c r="E27" s="3"/>
      <c r="F27" s="3"/>
      <c r="G27" s="3"/>
      <c r="H27" s="3"/>
      <c r="I27" s="3"/>
      <c r="J27" s="3"/>
    </row>
    <row r="28">
      <c r="A28" s="4" t="s">
        <v>69</v>
      </c>
      <c r="B28" s="5"/>
      <c r="C28" s="4"/>
      <c r="D28" s="4"/>
      <c r="E28" s="4"/>
      <c r="F28" s="4"/>
      <c r="G28" s="3"/>
      <c r="H28" s="3"/>
      <c r="I28" s="3"/>
      <c r="J28" s="3"/>
    </row>
    <row r="29">
      <c r="A29" s="6" t="s">
        <v>70</v>
      </c>
      <c r="B29" s="6" t="s">
        <v>4</v>
      </c>
      <c r="C29" s="6" t="s">
        <v>5</v>
      </c>
      <c r="D29" s="6" t="s">
        <v>6</v>
      </c>
      <c r="E29" s="6" t="s">
        <v>7</v>
      </c>
      <c r="F29" s="6" t="s">
        <v>8</v>
      </c>
      <c r="G29" s="16"/>
      <c r="H29" s="3"/>
      <c r="I29" s="3"/>
      <c r="J29" s="3"/>
    </row>
    <row r="30">
      <c r="A30" s="6" t="s">
        <v>15</v>
      </c>
      <c r="B30" s="6" t="s">
        <v>16</v>
      </c>
      <c r="C30" s="6" t="s">
        <v>17</v>
      </c>
      <c r="D30" s="6" t="s">
        <v>18</v>
      </c>
      <c r="E30" s="6" t="s">
        <v>19</v>
      </c>
      <c r="F30" s="6" t="s">
        <v>20</v>
      </c>
      <c r="G30" s="16"/>
      <c r="H30" s="3"/>
      <c r="I30" s="3"/>
      <c r="J30" s="3"/>
    </row>
    <row r="31">
      <c r="A31" s="6" t="s">
        <v>25</v>
      </c>
      <c r="B31" s="6" t="s">
        <v>26</v>
      </c>
      <c r="C31" s="6" t="s">
        <v>27</v>
      </c>
      <c r="D31" s="6" t="s">
        <v>28</v>
      </c>
      <c r="E31" s="6" t="s">
        <v>29</v>
      </c>
      <c r="F31" s="6" t="s">
        <v>30</v>
      </c>
    </row>
    <row r="32">
      <c r="A32" s="6" t="s">
        <v>35</v>
      </c>
      <c r="B32" s="6" t="s">
        <v>36</v>
      </c>
      <c r="C32" s="6" t="s">
        <v>37</v>
      </c>
      <c r="D32" s="6" t="s">
        <v>38</v>
      </c>
      <c r="E32" s="6" t="s">
        <v>39</v>
      </c>
      <c r="F32" s="6" t="s">
        <v>40</v>
      </c>
    </row>
    <row r="33">
      <c r="A33" s="17"/>
      <c r="B33" s="17"/>
      <c r="C33" s="17"/>
      <c r="D33" s="17"/>
      <c r="E33" s="17"/>
    </row>
    <row r="34">
      <c r="A34" s="3"/>
      <c r="B34" s="3"/>
      <c r="C34" s="3"/>
      <c r="D34" s="4"/>
      <c r="E34" s="3"/>
      <c r="F34" s="3"/>
    </row>
    <row r="35">
      <c r="A35" s="18" t="s">
        <v>71</v>
      </c>
      <c r="B35" s="4"/>
      <c r="C35" s="19"/>
      <c r="D35" s="20"/>
      <c r="E35" s="16"/>
      <c r="F35" s="18" t="s">
        <v>72</v>
      </c>
    </row>
    <row r="36">
      <c r="A36" s="6" t="s">
        <v>73</v>
      </c>
      <c r="B36" s="6" t="s">
        <v>10</v>
      </c>
      <c r="C36" s="6" t="s">
        <v>74</v>
      </c>
      <c r="D36" s="20"/>
      <c r="E36" s="16"/>
      <c r="F36" s="3" t="s">
        <v>75</v>
      </c>
      <c r="G36" s="3" t="s">
        <v>48</v>
      </c>
      <c r="H36" s="3" t="s">
        <v>49</v>
      </c>
      <c r="I36" s="3" t="s">
        <v>50</v>
      </c>
    </row>
    <row r="37">
      <c r="A37" s="6" t="s">
        <v>21</v>
      </c>
      <c r="B37" s="6" t="s">
        <v>22</v>
      </c>
      <c r="C37" s="6" t="s">
        <v>76</v>
      </c>
      <c r="D37" s="20"/>
      <c r="E37" s="16"/>
      <c r="F37" s="3" t="s">
        <v>58</v>
      </c>
      <c r="G37" s="3" t="s">
        <v>59</v>
      </c>
      <c r="H37" s="3" t="s">
        <v>60</v>
      </c>
      <c r="I37" s="3">
        <v>1500.0</v>
      </c>
    </row>
    <row r="38">
      <c r="A38" s="6" t="s">
        <v>31</v>
      </c>
      <c r="B38" s="6" t="s">
        <v>32</v>
      </c>
      <c r="C38" s="6" t="s">
        <v>77</v>
      </c>
      <c r="D38" s="20"/>
      <c r="E38" s="16"/>
      <c r="F38" s="3" t="s">
        <v>61</v>
      </c>
      <c r="G38" s="3" t="s">
        <v>62</v>
      </c>
      <c r="H38" s="3" t="s">
        <v>60</v>
      </c>
      <c r="I38" s="3">
        <v>2500.0</v>
      </c>
    </row>
    <row r="39">
      <c r="A39" s="6" t="s">
        <v>41</v>
      </c>
      <c r="B39" s="6" t="s">
        <v>42</v>
      </c>
      <c r="C39" s="6" t="s">
        <v>78</v>
      </c>
      <c r="D39" s="20"/>
      <c r="E39" s="16"/>
      <c r="F39" s="3" t="s">
        <v>63</v>
      </c>
      <c r="G39" s="3" t="s">
        <v>64</v>
      </c>
      <c r="H39" s="3" t="s">
        <v>60</v>
      </c>
      <c r="I39" s="3">
        <v>400.0</v>
      </c>
    </row>
    <row r="40">
      <c r="A40" s="17"/>
      <c r="B40" s="17"/>
      <c r="C40" s="17"/>
      <c r="D40" s="17"/>
      <c r="E40" s="3"/>
      <c r="F40" s="3" t="s">
        <v>65</v>
      </c>
      <c r="G40" s="3" t="s">
        <v>66</v>
      </c>
      <c r="H40" s="3" t="s">
        <v>67</v>
      </c>
      <c r="I40" s="3">
        <v>600.0</v>
      </c>
    </row>
    <row r="41">
      <c r="A41" s="3"/>
      <c r="B41" s="3"/>
      <c r="C41" s="3"/>
      <c r="D41" s="3"/>
      <c r="E41" s="3"/>
      <c r="F41" s="3"/>
    </row>
    <row r="42">
      <c r="A42" s="18" t="s">
        <v>79</v>
      </c>
      <c r="B42" s="3"/>
      <c r="C42" s="3"/>
      <c r="D42" s="3"/>
      <c r="E42" s="3"/>
      <c r="F42" s="18" t="s">
        <v>80</v>
      </c>
    </row>
    <row r="43">
      <c r="A43" s="3" t="s">
        <v>81</v>
      </c>
      <c r="B43" s="3" t="s">
        <v>2</v>
      </c>
      <c r="C43" s="3" t="s">
        <v>82</v>
      </c>
      <c r="D43" s="3" t="s">
        <v>83</v>
      </c>
      <c r="E43" s="3"/>
      <c r="F43" s="3" t="s">
        <v>84</v>
      </c>
      <c r="G43" s="3" t="s">
        <v>85</v>
      </c>
      <c r="H43" s="3" t="s">
        <v>51</v>
      </c>
      <c r="I43" s="3" t="s">
        <v>54</v>
      </c>
    </row>
    <row r="44">
      <c r="A44" s="3" t="s">
        <v>14</v>
      </c>
      <c r="B44" s="13">
        <v>46235.354166666664</v>
      </c>
      <c r="C44" s="3" t="s">
        <v>15</v>
      </c>
      <c r="D44" s="3" t="s">
        <v>21</v>
      </c>
      <c r="E44" s="3"/>
      <c r="F44" s="3" t="s">
        <v>14</v>
      </c>
      <c r="G44" s="3" t="s">
        <v>58</v>
      </c>
      <c r="H44" s="3">
        <v>4500.0</v>
      </c>
      <c r="I44" s="3">
        <v>10.0</v>
      </c>
    </row>
    <row r="45">
      <c r="A45" s="3" t="s">
        <v>24</v>
      </c>
      <c r="B45" s="13">
        <v>46235.427083333336</v>
      </c>
      <c r="C45" s="3" t="s">
        <v>25</v>
      </c>
      <c r="D45" s="3" t="s">
        <v>31</v>
      </c>
      <c r="E45" s="3"/>
      <c r="F45" s="3" t="s">
        <v>14</v>
      </c>
      <c r="G45" s="3" t="s">
        <v>61</v>
      </c>
      <c r="H45" s="3">
        <v>7000.0</v>
      </c>
      <c r="I45" s="3">
        <v>5.0</v>
      </c>
    </row>
    <row r="46">
      <c r="A46" s="3" t="s">
        <v>34</v>
      </c>
      <c r="B46" s="13">
        <v>46236.583333333336</v>
      </c>
      <c r="C46" s="3" t="s">
        <v>35</v>
      </c>
      <c r="D46" s="3" t="s">
        <v>41</v>
      </c>
      <c r="E46" s="3"/>
      <c r="F46" s="3" t="s">
        <v>24</v>
      </c>
      <c r="G46" s="3" t="s">
        <v>58</v>
      </c>
      <c r="H46" s="3">
        <v>4500.0</v>
      </c>
      <c r="I46" s="3">
        <v>20.0</v>
      </c>
    </row>
    <row r="47">
      <c r="A47" s="3" t="s">
        <v>44</v>
      </c>
      <c r="B47" s="13">
        <v>46237.40625</v>
      </c>
      <c r="C47" s="3" t="s">
        <v>15</v>
      </c>
      <c r="D47" s="3" t="s">
        <v>21</v>
      </c>
      <c r="F47" s="3" t="s">
        <v>24</v>
      </c>
      <c r="G47" s="3" t="s">
        <v>63</v>
      </c>
      <c r="H47" s="3">
        <v>2200.0</v>
      </c>
      <c r="I47" s="3">
        <v>50.0</v>
      </c>
    </row>
    <row r="48">
      <c r="A48" s="3"/>
      <c r="B48" s="3"/>
      <c r="C48" s="3"/>
      <c r="D48" s="3"/>
      <c r="F48" s="3" t="s">
        <v>34</v>
      </c>
      <c r="G48" s="3" t="s">
        <v>61</v>
      </c>
      <c r="H48" s="3">
        <v>7000.0</v>
      </c>
      <c r="I48" s="3">
        <v>15.0</v>
      </c>
      <c r="J48" s="3"/>
    </row>
    <row r="49">
      <c r="A49" s="3"/>
      <c r="B49" s="3"/>
      <c r="C49" s="3"/>
      <c r="D49" s="3"/>
      <c r="F49" s="3" t="s">
        <v>44</v>
      </c>
      <c r="G49" s="3" t="s">
        <v>58</v>
      </c>
      <c r="H49" s="3">
        <v>4500.0</v>
      </c>
      <c r="I49" s="3">
        <v>15.0</v>
      </c>
      <c r="J49" s="3"/>
    </row>
    <row r="50">
      <c r="A50" s="3"/>
      <c r="B50" s="3"/>
      <c r="C50" s="3"/>
      <c r="D50" s="3"/>
      <c r="E50" s="3"/>
      <c r="F50" s="3" t="s">
        <v>44</v>
      </c>
      <c r="G50" s="3" t="s">
        <v>65</v>
      </c>
      <c r="H50" s="3">
        <v>2000.0</v>
      </c>
      <c r="I50" s="3">
        <v>30.0</v>
      </c>
      <c r="J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</row>
    <row r="53">
      <c r="A53" s="10" t="s">
        <v>86</v>
      </c>
      <c r="B53" s="12"/>
      <c r="C53" s="12"/>
      <c r="D53" s="12"/>
      <c r="E53" s="12"/>
      <c r="F53" s="21"/>
      <c r="G53" s="21"/>
      <c r="H53" s="21"/>
    </row>
    <row r="55">
      <c r="A55" s="3"/>
      <c r="B55" s="3"/>
      <c r="C55" s="3"/>
      <c r="D55" s="3"/>
      <c r="E55" s="3"/>
      <c r="G55" s="3"/>
      <c r="H55" s="3"/>
      <c r="I55" s="3"/>
      <c r="J55" s="3"/>
    </row>
    <row r="56">
      <c r="A56" s="18" t="s">
        <v>69</v>
      </c>
      <c r="B56" s="3"/>
      <c r="C56" s="3"/>
      <c r="D56" s="3"/>
      <c r="E56" s="3"/>
      <c r="G56" s="3"/>
      <c r="H56" s="3"/>
      <c r="I56" s="3"/>
      <c r="J56" s="3"/>
    </row>
    <row r="57">
      <c r="A57" s="3" t="s">
        <v>70</v>
      </c>
      <c r="B57" s="3" t="s">
        <v>4</v>
      </c>
      <c r="C57" s="3" t="s">
        <v>5</v>
      </c>
      <c r="D57" s="3" t="s">
        <v>6</v>
      </c>
      <c r="E57" s="3" t="s">
        <v>7</v>
      </c>
      <c r="F57" s="3" t="s">
        <v>8</v>
      </c>
      <c r="G57" s="3"/>
      <c r="H57" s="3"/>
      <c r="I57" s="3"/>
      <c r="J57" s="3"/>
    </row>
    <row r="58">
      <c r="A58" s="3" t="s">
        <v>15</v>
      </c>
      <c r="B58" s="3" t="s">
        <v>16</v>
      </c>
      <c r="C58" s="3" t="s">
        <v>17</v>
      </c>
      <c r="D58" s="3" t="s">
        <v>18</v>
      </c>
      <c r="E58" s="22" t="str">
        <f>+502 5412 8901</f>
        <v>#ERROR!</v>
      </c>
      <c r="F58" s="3" t="s">
        <v>20</v>
      </c>
      <c r="G58" s="3"/>
      <c r="H58" s="3"/>
      <c r="I58" s="3"/>
      <c r="J58" s="3"/>
    </row>
    <row r="59">
      <c r="A59" s="3" t="s">
        <v>25</v>
      </c>
      <c r="B59" s="3" t="s">
        <v>26</v>
      </c>
      <c r="C59" s="3" t="s">
        <v>27</v>
      </c>
      <c r="D59" s="3" t="s">
        <v>28</v>
      </c>
      <c r="E59" s="22" t="str">
        <f>+502 4109 2387</f>
        <v>#ERROR!</v>
      </c>
      <c r="F59" s="3" t="s">
        <v>30</v>
      </c>
      <c r="G59" s="3"/>
      <c r="H59" s="3"/>
      <c r="I59" s="3"/>
      <c r="J59" s="3"/>
    </row>
    <row r="60">
      <c r="A60" s="3" t="s">
        <v>35</v>
      </c>
      <c r="B60" s="3" t="s">
        <v>36</v>
      </c>
      <c r="C60" s="3" t="s">
        <v>37</v>
      </c>
      <c r="D60" s="3" t="s">
        <v>38</v>
      </c>
      <c r="E60" s="22" t="str">
        <f>+502 3012 9944</f>
        <v>#ERROR!</v>
      </c>
      <c r="F60" s="3" t="s">
        <v>40</v>
      </c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</row>
    <row r="62">
      <c r="A62" s="18" t="s">
        <v>87</v>
      </c>
      <c r="B62" s="3"/>
      <c r="C62" s="3"/>
      <c r="D62" s="18" t="s">
        <v>72</v>
      </c>
      <c r="E62" s="3"/>
      <c r="F62" s="3"/>
      <c r="G62" s="3"/>
    </row>
    <row r="63">
      <c r="A63" s="3" t="s">
        <v>88</v>
      </c>
      <c r="B63" s="3" t="s">
        <v>89</v>
      </c>
      <c r="C63" s="3"/>
      <c r="D63" s="3" t="s">
        <v>75</v>
      </c>
      <c r="E63" s="3" t="s">
        <v>48</v>
      </c>
      <c r="F63" s="3" t="s">
        <v>90</v>
      </c>
      <c r="G63" s="3" t="s">
        <v>50</v>
      </c>
    </row>
    <row r="64">
      <c r="A64" s="3" t="s">
        <v>60</v>
      </c>
      <c r="B64" s="3" t="s">
        <v>91</v>
      </c>
      <c r="C64" s="3"/>
      <c r="D64" s="3" t="s">
        <v>58</v>
      </c>
      <c r="E64" s="3" t="s">
        <v>59</v>
      </c>
      <c r="F64" s="3" t="s">
        <v>60</v>
      </c>
      <c r="G64" s="3">
        <v>1500.0</v>
      </c>
      <c r="H64" s="3"/>
      <c r="I64" s="3"/>
    </row>
    <row r="65">
      <c r="A65" s="3" t="s">
        <v>67</v>
      </c>
      <c r="B65" s="3" t="s">
        <v>92</v>
      </c>
      <c r="C65" s="3"/>
      <c r="D65" s="3" t="s">
        <v>61</v>
      </c>
      <c r="E65" s="3" t="s">
        <v>62</v>
      </c>
      <c r="F65" s="3" t="s">
        <v>60</v>
      </c>
      <c r="G65" s="3">
        <v>2500.0</v>
      </c>
      <c r="H65" s="3"/>
      <c r="I65" s="3"/>
    </row>
    <row r="66">
      <c r="A66" s="3"/>
      <c r="B66" s="23"/>
      <c r="C66" s="3"/>
      <c r="D66" s="3" t="s">
        <v>63</v>
      </c>
      <c r="E66" s="3" t="s">
        <v>64</v>
      </c>
      <c r="F66" s="3" t="s">
        <v>60</v>
      </c>
      <c r="G66" s="3">
        <v>400.0</v>
      </c>
      <c r="H66" s="3"/>
      <c r="I66" s="3"/>
    </row>
    <row r="67">
      <c r="A67" s="3"/>
      <c r="B67" s="23"/>
      <c r="C67" s="3"/>
      <c r="D67" s="3" t="s">
        <v>65</v>
      </c>
      <c r="E67" s="3" t="s">
        <v>66</v>
      </c>
      <c r="F67" s="3" t="s">
        <v>67</v>
      </c>
      <c r="G67" s="3">
        <v>600.0</v>
      </c>
      <c r="H67" s="3"/>
      <c r="I67" s="3"/>
    </row>
    <row r="68">
      <c r="A68" s="3"/>
      <c r="B68" s="23"/>
      <c r="C68" s="3"/>
      <c r="D68" s="3"/>
      <c r="E68" s="3"/>
      <c r="F68" s="3"/>
      <c r="G68" s="3"/>
      <c r="H68" s="3"/>
      <c r="I68" s="3"/>
    </row>
    <row r="69">
      <c r="A69" s="18" t="s">
        <v>93</v>
      </c>
      <c r="B69" s="3"/>
      <c r="C69" s="3"/>
      <c r="D69" s="3"/>
      <c r="E69" s="18" t="s">
        <v>94</v>
      </c>
      <c r="F69" s="3"/>
      <c r="G69" s="3"/>
      <c r="H69" s="3"/>
      <c r="I69" s="3"/>
    </row>
    <row r="70">
      <c r="A70" s="3" t="s">
        <v>95</v>
      </c>
      <c r="B70" s="3" t="s">
        <v>96</v>
      </c>
      <c r="C70" s="3" t="s">
        <v>97</v>
      </c>
      <c r="E70" s="3" t="s">
        <v>98</v>
      </c>
      <c r="F70" s="3" t="s">
        <v>99</v>
      </c>
      <c r="G70" s="3"/>
      <c r="H70" s="3"/>
      <c r="I70" s="3"/>
    </row>
    <row r="71">
      <c r="A71" s="3" t="s">
        <v>100</v>
      </c>
      <c r="B71" s="3" t="s">
        <v>101</v>
      </c>
      <c r="C71" s="3" t="s">
        <v>102</v>
      </c>
      <c r="E71" s="3" t="s">
        <v>103</v>
      </c>
      <c r="F71" s="3">
        <v>25000.0</v>
      </c>
      <c r="G71" s="3"/>
      <c r="H71" s="3"/>
      <c r="I71" s="3"/>
    </row>
    <row r="72">
      <c r="A72" s="3" t="s">
        <v>104</v>
      </c>
      <c r="B72" s="3" t="s">
        <v>105</v>
      </c>
      <c r="C72" s="3" t="s">
        <v>106</v>
      </c>
      <c r="E72" s="3" t="s">
        <v>107</v>
      </c>
      <c r="F72" s="3">
        <v>40000.0</v>
      </c>
      <c r="G72" s="3"/>
      <c r="H72" s="3"/>
      <c r="I72" s="3"/>
    </row>
    <row r="73">
      <c r="A73" s="3" t="s">
        <v>108</v>
      </c>
      <c r="B73" s="3" t="s">
        <v>109</v>
      </c>
      <c r="C73" s="3" t="s">
        <v>110</v>
      </c>
      <c r="D73" s="3"/>
      <c r="E73" s="3" t="s">
        <v>111</v>
      </c>
      <c r="F73" s="3">
        <v>18000.0</v>
      </c>
    </row>
    <row r="74">
      <c r="A74" s="3"/>
      <c r="B74" s="23"/>
      <c r="C74" s="3"/>
      <c r="D74" s="3"/>
      <c r="E74" s="3"/>
      <c r="F74" s="3"/>
    </row>
    <row r="75">
      <c r="A75" s="18" t="s">
        <v>71</v>
      </c>
      <c r="B75" s="23"/>
      <c r="C75" s="3"/>
      <c r="D75" s="3"/>
      <c r="E75" s="3"/>
      <c r="F75" s="3"/>
    </row>
    <row r="76">
      <c r="A76" s="3" t="s">
        <v>73</v>
      </c>
      <c r="B76" s="3" t="s">
        <v>10</v>
      </c>
      <c r="C76" s="3" t="s">
        <v>74</v>
      </c>
      <c r="D76" s="3" t="s">
        <v>112</v>
      </c>
      <c r="E76" s="3" t="s">
        <v>113</v>
      </c>
      <c r="F76" s="3"/>
    </row>
    <row r="77">
      <c r="A77" s="3" t="s">
        <v>21</v>
      </c>
      <c r="B77" s="3" t="s">
        <v>22</v>
      </c>
      <c r="C77" s="3" t="s">
        <v>76</v>
      </c>
      <c r="D77" s="3" t="s">
        <v>100</v>
      </c>
      <c r="E77" s="3" t="s">
        <v>103</v>
      </c>
      <c r="F77" s="3"/>
    </row>
    <row r="78">
      <c r="A78" s="3" t="s">
        <v>31</v>
      </c>
      <c r="B78" s="3" t="s">
        <v>32</v>
      </c>
      <c r="C78" s="3" t="s">
        <v>77</v>
      </c>
      <c r="D78" s="3" t="s">
        <v>104</v>
      </c>
      <c r="E78" s="3" t="s">
        <v>107</v>
      </c>
    </row>
    <row r="79">
      <c r="A79" s="3" t="s">
        <v>41</v>
      </c>
      <c r="B79" s="3" t="s">
        <v>42</v>
      </c>
      <c r="C79" s="3" t="s">
        <v>78</v>
      </c>
      <c r="D79" s="3" t="s">
        <v>108</v>
      </c>
      <c r="E79" s="3" t="s">
        <v>111</v>
      </c>
    </row>
    <row r="81">
      <c r="A81" s="18" t="s">
        <v>114</v>
      </c>
      <c r="B81" s="3"/>
      <c r="C81" s="3"/>
      <c r="D81" s="3"/>
      <c r="F81" s="18" t="s">
        <v>115</v>
      </c>
    </row>
    <row r="82">
      <c r="A82" s="3" t="s">
        <v>85</v>
      </c>
      <c r="B82" s="3" t="s">
        <v>116</v>
      </c>
      <c r="C82" s="3" t="s">
        <v>52</v>
      </c>
      <c r="D82" s="3" t="s">
        <v>53</v>
      </c>
      <c r="F82" s="3" t="s">
        <v>81</v>
      </c>
      <c r="G82" s="3" t="s">
        <v>2</v>
      </c>
      <c r="H82" s="3" t="s">
        <v>82</v>
      </c>
      <c r="I82" s="3" t="s">
        <v>83</v>
      </c>
    </row>
    <row r="83">
      <c r="A83" s="3" t="s">
        <v>58</v>
      </c>
      <c r="B83" s="3" t="s">
        <v>21</v>
      </c>
      <c r="C83" s="3">
        <v>1200.0</v>
      </c>
      <c r="D83" s="3">
        <v>200.0</v>
      </c>
      <c r="F83" s="3" t="s">
        <v>14</v>
      </c>
      <c r="G83" s="13">
        <v>46235.354166666664</v>
      </c>
      <c r="H83" s="3" t="s">
        <v>15</v>
      </c>
      <c r="I83" s="3" t="s">
        <v>21</v>
      </c>
    </row>
    <row r="84">
      <c r="A84" s="3" t="s">
        <v>58</v>
      </c>
      <c r="B84" s="3" t="s">
        <v>31</v>
      </c>
      <c r="C84" s="3">
        <v>3000.0</v>
      </c>
      <c r="D84" s="3">
        <v>500.0</v>
      </c>
      <c r="F84" s="3" t="s">
        <v>24</v>
      </c>
      <c r="G84" s="13">
        <v>46235.427083333336</v>
      </c>
      <c r="H84" s="3" t="s">
        <v>25</v>
      </c>
      <c r="I84" s="3" t="s">
        <v>31</v>
      </c>
    </row>
    <row r="85">
      <c r="A85" s="3" t="s">
        <v>61</v>
      </c>
      <c r="B85" s="3" t="s">
        <v>21</v>
      </c>
      <c r="C85" s="3">
        <v>850.0</v>
      </c>
      <c r="D85" s="3">
        <v>150.0</v>
      </c>
      <c r="F85" s="3" t="s">
        <v>34</v>
      </c>
      <c r="G85" s="13">
        <v>46236.583333333336</v>
      </c>
      <c r="H85" s="3" t="s">
        <v>35</v>
      </c>
      <c r="I85" s="3" t="s">
        <v>41</v>
      </c>
    </row>
    <row r="86">
      <c r="A86" s="3" t="s">
        <v>61</v>
      </c>
      <c r="B86" s="3" t="s">
        <v>41</v>
      </c>
      <c r="C86" s="3">
        <v>400.0</v>
      </c>
      <c r="D86" s="3">
        <v>100.0</v>
      </c>
      <c r="F86" s="3" t="s">
        <v>44</v>
      </c>
      <c r="G86" s="13">
        <v>46237.40625</v>
      </c>
      <c r="H86" s="3" t="s">
        <v>15</v>
      </c>
      <c r="I86" s="3" t="s">
        <v>21</v>
      </c>
    </row>
    <row r="87">
      <c r="A87" s="3" t="s">
        <v>63</v>
      </c>
      <c r="B87" s="3" t="s">
        <v>31</v>
      </c>
      <c r="C87" s="3">
        <v>1800.0</v>
      </c>
      <c r="D87" s="3">
        <v>300.0</v>
      </c>
    </row>
    <row r="88">
      <c r="A88" s="3" t="s">
        <v>65</v>
      </c>
      <c r="B88" s="3" t="s">
        <v>21</v>
      </c>
      <c r="C88" s="3">
        <v>2500.0</v>
      </c>
      <c r="D88" s="3">
        <v>400.0</v>
      </c>
    </row>
    <row r="89">
      <c r="A89" s="3"/>
      <c r="B89" s="3"/>
      <c r="C89" s="3"/>
      <c r="D89" s="3"/>
    </row>
    <row r="90">
      <c r="A90" s="18" t="s">
        <v>117</v>
      </c>
    </row>
    <row r="91">
      <c r="A91" s="3" t="s">
        <v>84</v>
      </c>
      <c r="B91" s="3" t="s">
        <v>85</v>
      </c>
      <c r="C91" s="3" t="s">
        <v>51</v>
      </c>
      <c r="D91" s="3" t="s">
        <v>54</v>
      </c>
    </row>
    <row r="92">
      <c r="A92" s="3" t="s">
        <v>14</v>
      </c>
      <c r="B92" s="3" t="s">
        <v>58</v>
      </c>
      <c r="C92" s="3">
        <v>4500.0</v>
      </c>
      <c r="D92" s="3">
        <v>10.0</v>
      </c>
    </row>
    <row r="93">
      <c r="A93" s="3" t="s">
        <v>14</v>
      </c>
      <c r="B93" s="3" t="s">
        <v>61</v>
      </c>
      <c r="C93" s="3">
        <v>7000.0</v>
      </c>
      <c r="D93" s="3">
        <v>5.0</v>
      </c>
    </row>
    <row r="94">
      <c r="A94" s="3" t="s">
        <v>24</v>
      </c>
      <c r="B94" s="3" t="s">
        <v>58</v>
      </c>
      <c r="C94" s="3">
        <v>4500.0</v>
      </c>
      <c r="D94" s="3">
        <v>20.0</v>
      </c>
    </row>
    <row r="95">
      <c r="A95" s="3" t="s">
        <v>24</v>
      </c>
      <c r="B95" s="3" t="s">
        <v>63</v>
      </c>
      <c r="C95" s="3">
        <v>2200.0</v>
      </c>
      <c r="D95" s="3">
        <v>50.0</v>
      </c>
    </row>
    <row r="96">
      <c r="A96" s="3" t="s">
        <v>34</v>
      </c>
      <c r="B96" s="3" t="s">
        <v>61</v>
      </c>
      <c r="C96" s="3">
        <v>7000.0</v>
      </c>
      <c r="D96" s="3">
        <v>15.0</v>
      </c>
    </row>
    <row r="97">
      <c r="A97" s="3" t="s">
        <v>44</v>
      </c>
      <c r="B97" s="3" t="s">
        <v>58</v>
      </c>
      <c r="C97" s="3">
        <v>4500.0</v>
      </c>
      <c r="D97" s="3">
        <v>15.0</v>
      </c>
    </row>
    <row r="98">
      <c r="A98" s="3" t="s">
        <v>44</v>
      </c>
      <c r="B98" s="3" t="s">
        <v>65</v>
      </c>
      <c r="C98" s="3">
        <v>2000.0</v>
      </c>
      <c r="D98" s="3">
        <v>30.0</v>
      </c>
    </row>
    <row r="100">
      <c r="A100" s="10" t="s">
        <v>118</v>
      </c>
      <c r="B100" s="21"/>
      <c r="C100" s="21"/>
      <c r="D100" s="21"/>
      <c r="E100" s="21"/>
      <c r="F100" s="21"/>
      <c r="G100" s="21"/>
      <c r="H100" s="21"/>
      <c r="I100" s="21"/>
    </row>
    <row r="102">
      <c r="A102" s="18" t="s">
        <v>119</v>
      </c>
      <c r="F102" s="18" t="s">
        <v>120</v>
      </c>
    </row>
    <row r="103">
      <c r="A103" s="3" t="s">
        <v>121</v>
      </c>
      <c r="B103" s="3" t="s">
        <v>122</v>
      </c>
      <c r="C103" s="3" t="s">
        <v>83</v>
      </c>
      <c r="D103" s="3" t="s">
        <v>123</v>
      </c>
      <c r="F103" s="3" t="s">
        <v>124</v>
      </c>
      <c r="G103" s="3" t="s">
        <v>125</v>
      </c>
    </row>
    <row r="104">
      <c r="A104" s="3" t="s">
        <v>126</v>
      </c>
      <c r="B104" s="3" t="s">
        <v>127</v>
      </c>
      <c r="C104" s="3" t="s">
        <v>21</v>
      </c>
      <c r="D104" s="3" t="s">
        <v>128</v>
      </c>
      <c r="F104" s="3" t="s">
        <v>126</v>
      </c>
      <c r="G104" s="3" t="s">
        <v>129</v>
      </c>
    </row>
    <row r="105">
      <c r="A105" s="3" t="s">
        <v>130</v>
      </c>
      <c r="B105" s="3" t="s">
        <v>131</v>
      </c>
      <c r="C105" s="3" t="s">
        <v>41</v>
      </c>
      <c r="D105" s="3" t="s">
        <v>132</v>
      </c>
      <c r="F105" s="3" t="s">
        <v>126</v>
      </c>
      <c r="G105" s="3" t="s">
        <v>133</v>
      </c>
    </row>
    <row r="106">
      <c r="F106" s="3" t="s">
        <v>130</v>
      </c>
      <c r="G106" s="3" t="s">
        <v>129</v>
      </c>
    </row>
    <row r="107">
      <c r="F107" s="3" t="s">
        <v>130</v>
      </c>
      <c r="G107" s="3" t="s">
        <v>134</v>
      </c>
    </row>
    <row r="108">
      <c r="A108" s="18" t="s">
        <v>135</v>
      </c>
    </row>
    <row r="109">
      <c r="A109" s="3" t="s">
        <v>124</v>
      </c>
      <c r="B109" s="3" t="s">
        <v>136</v>
      </c>
    </row>
    <row r="110">
      <c r="A110" s="3" t="s">
        <v>126</v>
      </c>
      <c r="B110" s="3" t="s">
        <v>137</v>
      </c>
    </row>
    <row r="111">
      <c r="A111" s="3" t="s">
        <v>126</v>
      </c>
      <c r="B111" s="3" t="s">
        <v>138</v>
      </c>
    </row>
    <row r="112">
      <c r="A112" s="3" t="s">
        <v>130</v>
      </c>
      <c r="B112" s="3" t="s">
        <v>139</v>
      </c>
    </row>
  </sheetData>
  <drawing r:id="rId1"/>
</worksheet>
</file>